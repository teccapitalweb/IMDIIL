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Costo por planta" sheetId="2" state="visible" r:id="rId4"/>
    <sheet name="Lot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<sst xmlns="http://schemas.openxmlformats.org/spreadsheetml/2006/main" count="62" uniqueCount="60">
  <si>
    <t xml:space="preserve">SINERGIA AGRÍCOLA</t>
  </si>
  <si>
    <t xml:space="preserve">Calculadora de Costo y Precio por Planta</t>
  </si>
  <si>
    <t xml:space="preserve">Conoce cuánto te cuesta cada suculenta y a qué precio venderla con utilidad.</t>
  </si>
  <si>
    <t xml:space="preserve">¿Qué hace esta herramienta?</t>
  </si>
  <si>
    <t xml:space="preserve">Objetivo</t>
  </si>
  <si>
    <t xml:space="preserve">Calcula cuánto te cuesta producir cada suculenta y a qué precio venderla para obtener el margen que tú decidas.</t>
  </si>
  <si>
    <t xml:space="preserve">Clave</t>
  </si>
  <si>
    <t xml:space="preserve">Como las suculentas se propagan casi gratis, conocer tu costo real por planta es lo que te permite fijar un precio con buen margen.</t>
  </si>
  <si>
    <t xml:space="preserve">Cómo usarla (paso a paso)</t>
  </si>
  <si>
    <t xml:space="preserve">Paso 1</t>
  </si>
  <si>
    <t xml:space="preserve">Ve a la hoja COSTO POR PLANTA y captura en AZUL los costos de materiales (maceta, sustrato, planta madre, etc.).</t>
  </si>
  <si>
    <t xml:space="preserve">Paso 2</t>
  </si>
  <si>
    <t xml:space="preserve">Captura cuántas plantas produces por lote y el margen de utilidad que quieres ganar.</t>
  </si>
  <si>
    <t xml:space="preserve">Paso 3</t>
  </si>
  <si>
    <t xml:space="preserve">La hoja calcula sola el costo por planta, el precio sugerido y tu utilidad. No toques las celdas de resultado.</t>
  </si>
  <si>
    <t xml:space="preserve">Paso 4</t>
  </si>
  <si>
    <t xml:space="preserve">Ve a la hoja LOTE para ver tu inversión, ingreso y utilidad de todo un lote de producción.</t>
  </si>
  <si>
    <t xml:space="preserve">Leyenda de colores</t>
  </si>
  <si>
    <t xml:space="preserve">  Celda AZUL</t>
  </si>
  <si>
    <t xml:space="preserve">Tú la editas (costos, cantidades, margen).</t>
  </si>
  <si>
    <t xml:space="preserve">  Celda negra/verde</t>
  </si>
  <si>
    <t xml:space="preserve">Resultado con fórmula. No se toca.</t>
  </si>
  <si>
    <t xml:space="preserve">  Celda AMARILLA</t>
  </si>
  <si>
    <t xml:space="preserve">Resultado clave: costo por planta, precio sugerido, utilidad.</t>
  </si>
  <si>
    <t xml:space="preserve">Nota</t>
  </si>
  <si>
    <t xml:space="preserve">Cifras de ejemplo</t>
  </si>
  <si>
    <t xml:space="preserve">Los datos cargados son ejemplos orientativos. Cámbialos por tus costos reales.</t>
  </si>
  <si>
    <t xml:space="preserve">SINERGIA AGRÍCOLA  ·  Costo y Precio por Planta  ·  Llena las celdas AZULES</t>
  </si>
  <si>
    <t xml:space="preserve">COSTOS DEL LOTE DE PRODUCCIÓN</t>
  </si>
  <si>
    <t xml:space="preserve">PRODUCCIÓN Y MARGEN</t>
  </si>
  <si>
    <t xml:space="preserve">Concepto</t>
  </si>
  <si>
    <t xml:space="preserve">Monto ($)</t>
  </si>
  <si>
    <t xml:space="preserve">Plantas producidas por lote</t>
  </si>
  <si>
    <t xml:space="preserve">Sustrato (mezcla del lote)</t>
  </si>
  <si>
    <t xml:space="preserve">Margen de utilidad deseado (%)</t>
  </si>
  <si>
    <t xml:space="preserve">Macetas (del lote)</t>
  </si>
  <si>
    <t xml:space="preserve">Planta madre / material de propagación</t>
  </si>
  <si>
    <t xml:space="preserve">RESULTADOS POR PLANTA</t>
  </si>
  <si>
    <t xml:space="preserve">Fertilizante y tratamientos</t>
  </si>
  <si>
    <t xml:space="preserve">Costo por planta ($)</t>
  </si>
  <si>
    <t xml:space="preserve">Agua del ciclo</t>
  </si>
  <si>
    <t xml:space="preserve">Precio de venta sugerido ($)</t>
  </si>
  <si>
    <t xml:space="preserve">Mano de obra / tu tiempo</t>
  </si>
  <si>
    <t xml:space="preserve">Utilidad por planta ($)</t>
  </si>
  <si>
    <t xml:space="preserve">Otros (etiquetas, decoración)</t>
  </si>
  <si>
    <t xml:space="preserve">COSTO TOTAL DEL LOTE</t>
  </si>
  <si>
    <t xml:space="preserve">Cifras de ejemplo orientativas. Azul = lo editas tú · Amarillo = resultado clave. Algunos costos son del LOTE y se reparten entre las plantas producidas.</t>
  </si>
  <si>
    <t xml:space="preserve">Resumen del lote de producción</t>
  </si>
  <si>
    <t xml:space="preserve">Plantas producidas en el lote</t>
  </si>
  <si>
    <t xml:space="preserve">plantas</t>
  </si>
  <si>
    <t xml:space="preserve">Costo por planta</t>
  </si>
  <si>
    <t xml:space="preserve">Precio de venta sugerido por planta</t>
  </si>
  <si>
    <t xml:space="preserve">Inversión total del lote</t>
  </si>
  <si>
    <t xml:space="preserve">Ingreso si se vende todo el lote</t>
  </si>
  <si>
    <t xml:space="preserve">Utilidad total del lote</t>
  </si>
  <si>
    <t xml:space="preserve">¿Y si no vendes todo el lote?</t>
  </si>
  <si>
    <t xml:space="preserve">Captura cuántas plantas esperas vender realmente (en azul) para estimar tu utilidad real.</t>
  </si>
  <si>
    <t xml:space="preserve">Plantas que esperas vender</t>
  </si>
  <si>
    <t xml:space="preserve">Utilidad real estimada</t>
  </si>
  <si>
    <t xml:space="preserve">Comunidad VIP · Certificado Digital con Folio Válido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</si>
</sst>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\$#,##0"/>
    <numFmt numFmtId="167" formatCode="0%"/>
    <numFmt numFmtId="168" formatCode="\$#,##0.00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B5E20"/>
      <name val="Arial"/>
      <family val="0"/>
      <charset val="1"/>
    </font>
    <font>
      <b val="true"/>
      <sz val="14"/>
      <color rgb="FF1A1A1A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B5E20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E08A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10"/>
      <color rgb="FF555555"/>
      <name val="Arial"/>
      <family val="0"/>
      <charset val="1"/>
    </font>
    <font>
      <b val="true"/>
      <sz val="11"/>
      <color rgb="FF1B5E20"/>
      <name val="Arial"/>
      <family val="0"/>
      <charset val="1"/>
    </font>
    <font>
      <b val="true"/>
      <sz val="9"/>
      <color rgb="FF1A1A1A"/>
      <name val="Arial"/>
      <family val="0"/>
      <charset val="1"/>
    </font>
    <font>
      <sz val="11"/>
      <color rgb="FF0000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A1A1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8"/>
      <color rgb="FF555555"/>
      <name val="Arial"/>
      <family val="0"/>
      <charset val="1"/>
    </font>
    <font>
      <b val="true"/>
      <sz val="15"/>
      <color rgb="FF1A1A1A"/>
      <name val="Arial"/>
      <family val="0"/>
      <charset val="1"/>
    </font>
    <font>
      <b val="true"/>
      <sz val="13"/>
      <color rgb="FF0E3311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2"/>
      <color rgb="FF1B5E20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5E20"/>
        <bgColor rgb="FF0E3311"/>
      </patternFill>
    </fill>
    <fill>
      <patternFill patternType="solid">
        <fgColor rgb="FFFFF2CC"/>
        <bgColor rgb="FFE8F3E9"/>
      </patternFill>
    </fill>
    <fill>
      <patternFill patternType="solid">
        <fgColor rgb="FFD6ECD9"/>
        <bgColor rgb="FFE8F3E9"/>
      </patternFill>
    </fill>
    <fill>
      <patternFill patternType="solid">
        <fgColor rgb="FFFFFFFF"/>
        <bgColor rgb="FFE8F3E9"/>
      </patternFill>
    </fill>
    <fill>
      <patternFill patternType="solid">
        <fgColor rgb="FFE8F3E9"/>
        <bgColor rgb="FFD6ECD9"/>
      </patternFill>
    </fill>
    <fill>
      <patternFill patternType="solid">
        <fgColor rgb="FF0E3311"/>
        <bgColor rgb="FF1A1A1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2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1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6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6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18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7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7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2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22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2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5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8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E8F3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EC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08A00"/>
      <rgbColor rgb="FFFF6600"/>
      <rgbColor rgb="FF555555"/>
      <rgbColor rgb="FF969696"/>
      <rgbColor rgb="FF003366"/>
      <rgbColor rgb="FF339966"/>
      <rgbColor rgb="FF0E3311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" min="3" style="1" width="60"/>
    <col collapsed="false" customWidth="true" hidden="false" outlineLevel="0" max="4" min="4" style="1" width="2"/>
  </cols>
  <sheetData>
    <row r="2" customFormat="false" ht="16.15" hidden="false" customHeight="false" outlineLevel="0" collapsed="false">
      <c r="B2" s="2" t="s">
        <v>0</v>
      </c>
      <c r="C2" s="2"/>
    </row>
    <row r="3" customFormat="false" ht="17.35" hidden="false" customHeight="false" outlineLevel="0" collapsed="false">
      <c r="B3" s="3" t="s">
        <v>1</v>
      </c>
      <c r="C3" s="3"/>
    </row>
    <row r="4" customFormat="false" ht="19.5" hidden="false" customHeight="true" outlineLevel="0" collapsed="false">
      <c r="B4" s="4" t="s">
        <v>2</v>
      </c>
      <c r="C4" s="4"/>
    </row>
    <row r="6" customFormat="false" ht="19.5" hidden="false" customHeight="true" outlineLevel="0" collapsed="false">
      <c r="B6" s="5" t="s">
        <v>3</v>
      </c>
      <c r="C6" s="5"/>
    </row>
    <row r="7" customFormat="false" ht="23.85" hidden="false" customHeight="false" outlineLevel="0" collapsed="false">
      <c r="B7" s="6" t="s">
        <v>4</v>
      </c>
      <c r="C7" s="7" t="s">
        <v>5</v>
      </c>
    </row>
    <row r="8" customFormat="false" ht="23.85" hidden="false" customHeight="false" outlineLevel="0" collapsed="false">
      <c r="B8" s="6" t="s">
        <v>6</v>
      </c>
      <c r="C8" s="7" t="s">
        <v>7</v>
      </c>
    </row>
    <row r="10" customFormat="false" ht="19.5" hidden="false" customHeight="true" outlineLevel="0" collapsed="false">
      <c r="B10" s="5" t="s">
        <v>8</v>
      </c>
      <c r="C10" s="5"/>
    </row>
    <row r="11" customFormat="false" ht="23.85" hidden="false" customHeight="false" outlineLevel="0" collapsed="false">
      <c r="B11" s="8" t="s">
        <v>9</v>
      </c>
      <c r="C11" s="7" t="s">
        <v>10</v>
      </c>
    </row>
    <row r="12" customFormat="false" ht="23.85" hidden="false" customHeight="false" outlineLevel="0" collapsed="false">
      <c r="B12" s="8" t="s">
        <v>11</v>
      </c>
      <c r="C12" s="7" t="s">
        <v>12</v>
      </c>
    </row>
    <row r="13" customFormat="false" ht="23.85" hidden="false" customHeight="false" outlineLevel="0" collapsed="false">
      <c r="B13" s="8" t="s">
        <v>13</v>
      </c>
      <c r="C13" s="7" t="s">
        <v>14</v>
      </c>
    </row>
    <row r="14" customFormat="false" ht="23.85" hidden="false" customHeight="false" outlineLevel="0" collapsed="false">
      <c r="B14" s="8" t="s">
        <v>15</v>
      </c>
      <c r="C14" s="7" t="s">
        <v>16</v>
      </c>
    </row>
    <row r="16" customFormat="false" ht="19.5" hidden="false" customHeight="true" outlineLevel="0" collapsed="false">
      <c r="B16" s="5" t="s">
        <v>17</v>
      </c>
      <c r="C16" s="5"/>
    </row>
    <row r="17" customFormat="false" ht="15" hidden="false" customHeight="false" outlineLevel="0" collapsed="false">
      <c r="B17" s="9" t="s">
        <v>18</v>
      </c>
      <c r="C17" s="10" t="s">
        <v>19</v>
      </c>
    </row>
    <row r="18" customFormat="false" ht="15" hidden="false" customHeight="false" outlineLevel="0" collapsed="false">
      <c r="B18" s="11" t="s">
        <v>20</v>
      </c>
      <c r="C18" s="10" t="s">
        <v>21</v>
      </c>
    </row>
    <row r="19" customFormat="false" ht="15" hidden="false" customHeight="false" outlineLevel="0" collapsed="false">
      <c r="B19" s="12" t="s">
        <v>22</v>
      </c>
      <c r="C19" s="10" t="s">
        <v>23</v>
      </c>
    </row>
    <row r="21" customFormat="false" ht="19.5" hidden="false" customHeight="true" outlineLevel="0" collapsed="false">
      <c r="B21" s="5" t="s">
        <v>24</v>
      </c>
      <c r="C21" s="5"/>
    </row>
    <row r="22" customFormat="false" ht="23.85" hidden="false" customHeight="false" outlineLevel="0" collapsed="false">
      <c r="B22" s="13" t="s">
        <v>25</v>
      </c>
      <c r="C22" s="7" t="s">
        <v>26</v>
      </c>
    </row>
  </sheetData>
  <mergeCells count="7">
    <mergeCell ref="B2:C2"/>
    <mergeCell ref="B3:C3"/>
    <mergeCell ref="B4:C4"/>
    <mergeCell ref="B6:C6"/>
    <mergeCell ref="B10:C10"/>
    <mergeCell ref="B16:C16"/>
    <mergeCell ref="B21:C21"/>
  </mergeCells>
  <printOptions headings="false" gridLines="false" gridLinesSet="true" horizontalCentered="false" verticalCentered="false"/>
  <pageMargins left="0.5" right="0.5" top="0.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18"/>
    <col collapsed="false" customWidth="true" hidden="false" outlineLevel="0" max="4" min="4" style="1" width="4"/>
    <col collapsed="false" customWidth="true" hidden="false" outlineLevel="0" max="5" min="5" style="1" width="34"/>
    <col collapsed="false" customWidth="true" hidden="false" outlineLevel="0" max="6" min="6" style="1" width="20"/>
    <col collapsed="false" customWidth="true" hidden="false" outlineLevel="0" max="7" min="7" style="1" width="3"/>
  </cols>
  <sheetData>
    <row r="1" customFormat="false" ht="18" hidden="false" customHeight="true" outlineLevel="0" collapsed="false">
      <c r="B1" s="14" t="s">
        <v>27</v>
      </c>
      <c r="C1" s="14"/>
      <c r="D1" s="14"/>
      <c r="E1" s="14"/>
      <c r="F1" s="14"/>
    </row>
    <row r="3" customFormat="false" ht="19.5" hidden="false" customHeight="true" outlineLevel="0" collapsed="false">
      <c r="B3" s="15" t="s">
        <v>28</v>
      </c>
      <c r="C3" s="15"/>
      <c r="E3" s="15" t="s">
        <v>29</v>
      </c>
      <c r="F3" s="15"/>
    </row>
    <row r="4" customFormat="false" ht="21.75" hidden="false" customHeight="true" outlineLevel="0" collapsed="false">
      <c r="B4" s="16" t="s">
        <v>30</v>
      </c>
      <c r="C4" s="17" t="s">
        <v>31</v>
      </c>
      <c r="E4" s="18" t="s">
        <v>32</v>
      </c>
      <c r="F4" s="19" t="n">
        <v>40</v>
      </c>
    </row>
    <row r="5" customFormat="false" ht="21.75" hidden="false" customHeight="true" outlineLevel="0" collapsed="false">
      <c r="B5" s="20" t="s">
        <v>33</v>
      </c>
      <c r="C5" s="21" t="n">
        <v>250</v>
      </c>
      <c r="E5" s="18" t="s">
        <v>34</v>
      </c>
      <c r="F5" s="22" t="n">
        <v>0.6</v>
      </c>
    </row>
    <row r="6" customFormat="false" ht="15" hidden="false" customHeight="false" outlineLevel="0" collapsed="false">
      <c r="B6" s="20" t="s">
        <v>35</v>
      </c>
      <c r="C6" s="21" t="n">
        <v>600</v>
      </c>
    </row>
    <row r="7" customFormat="false" ht="19.5" hidden="false" customHeight="true" outlineLevel="0" collapsed="false">
      <c r="B7" s="20" t="s">
        <v>36</v>
      </c>
      <c r="C7" s="21" t="n">
        <v>400</v>
      </c>
      <c r="E7" s="15" t="s">
        <v>37</v>
      </c>
      <c r="F7" s="15"/>
    </row>
    <row r="8" customFormat="false" ht="21.75" hidden="false" customHeight="true" outlineLevel="0" collapsed="false">
      <c r="B8" s="20" t="s">
        <v>38</v>
      </c>
      <c r="C8" s="21" t="n">
        <v>150</v>
      </c>
      <c r="E8" s="23" t="s">
        <v>39</v>
      </c>
      <c r="F8" s="24" t="n">
        <f aca="false">IFERROR(C12/F4,0)</f>
        <v>62.5</v>
      </c>
    </row>
    <row r="9" customFormat="false" ht="21.75" hidden="false" customHeight="true" outlineLevel="0" collapsed="false">
      <c r="B9" s="20" t="s">
        <v>40</v>
      </c>
      <c r="C9" s="21" t="n">
        <v>80</v>
      </c>
      <c r="E9" s="23" t="s">
        <v>41</v>
      </c>
      <c r="F9" s="24" t="n">
        <f aca="false">IFERROR((C12/F4)/(1-F5),0)</f>
        <v>156.25</v>
      </c>
    </row>
    <row r="10" customFormat="false" ht="21.75" hidden="false" customHeight="true" outlineLevel="0" collapsed="false">
      <c r="B10" s="20" t="s">
        <v>42</v>
      </c>
      <c r="C10" s="21" t="n">
        <v>800</v>
      </c>
      <c r="E10" s="23" t="s">
        <v>43</v>
      </c>
      <c r="F10" s="24" t="n">
        <f aca="false">IFERROR(F9-(C12/F4),0)</f>
        <v>93.75</v>
      </c>
    </row>
    <row r="11" customFormat="false" ht="15" hidden="false" customHeight="false" outlineLevel="0" collapsed="false">
      <c r="B11" s="20" t="s">
        <v>44</v>
      </c>
      <c r="C11" s="21" t="n">
        <v>220</v>
      </c>
    </row>
    <row r="12" customFormat="false" ht="19.5" hidden="false" customHeight="true" outlineLevel="0" collapsed="false">
      <c r="B12" s="25" t="s">
        <v>45</v>
      </c>
      <c r="C12" s="26" t="n">
        <f aca="false">SUM(C5:C11)</f>
        <v>2500</v>
      </c>
    </row>
    <row r="14" customFormat="false" ht="15" hidden="false" customHeight="false" outlineLevel="0" collapsed="false">
      <c r="B14" s="27" t="s">
        <v>46</v>
      </c>
      <c r="C14" s="27"/>
      <c r="D14" s="27"/>
      <c r="E14" s="27"/>
      <c r="F14" s="27"/>
    </row>
  </sheetData>
  <mergeCells count="5">
    <mergeCell ref="B1:F1"/>
    <mergeCell ref="B3:C3"/>
    <mergeCell ref="E3:F3"/>
    <mergeCell ref="E7:F7"/>
    <mergeCell ref="B14:F14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3" min="3" style="1" width="24"/>
    <col collapsed="false" customWidth="true" hidden="false" outlineLevel="0" max="4" min="4" style="1" width="40"/>
    <col collapsed="false" customWidth="true" hidden="false" outlineLevel="0" max="5" min="5" style="1" width="3"/>
  </cols>
  <sheetData>
    <row r="2" customFormat="false" ht="15" hidden="false" customHeight="false" outlineLevel="0" collapsed="false">
      <c r="B2" s="14" t="s">
        <v>0</v>
      </c>
      <c r="C2" s="14"/>
      <c r="D2" s="14"/>
    </row>
    <row r="3" customFormat="false" ht="19.5" hidden="false" customHeight="true" outlineLevel="0" collapsed="false">
      <c r="B3" s="28" t="s">
        <v>47</v>
      </c>
      <c r="C3" s="28"/>
      <c r="D3" s="28"/>
    </row>
    <row r="5" customFormat="false" ht="25.5" hidden="false" customHeight="true" outlineLevel="0" collapsed="false">
      <c r="B5" s="29" t="s">
        <v>48</v>
      </c>
      <c r="C5" s="30" t="n">
        <f aca="false">'Costo por planta'!F4</f>
        <v>40</v>
      </c>
      <c r="D5" s="31" t="s">
        <v>49</v>
      </c>
    </row>
    <row r="6" customFormat="false" ht="25.5" hidden="false" customHeight="true" outlineLevel="0" collapsed="false">
      <c r="B6" s="29" t="s">
        <v>50</v>
      </c>
      <c r="C6" s="32" t="n">
        <f aca="false">'Costo por planta'!F8</f>
        <v>62.5</v>
      </c>
      <c r="D6" s="31"/>
    </row>
    <row r="7" customFormat="false" ht="25.5" hidden="false" customHeight="true" outlineLevel="0" collapsed="false">
      <c r="B7" s="29" t="s">
        <v>51</v>
      </c>
      <c r="C7" s="32" t="n">
        <f aca="false">'Costo por planta'!F9</f>
        <v>156.25</v>
      </c>
      <c r="D7" s="31"/>
    </row>
    <row r="8" customFormat="false" ht="25.5" hidden="false" customHeight="true" outlineLevel="0" collapsed="false">
      <c r="B8" s="29" t="s">
        <v>52</v>
      </c>
      <c r="C8" s="33" t="n">
        <f aca="false">'Costo por planta'!C12</f>
        <v>2500</v>
      </c>
      <c r="D8" s="34"/>
    </row>
    <row r="9" customFormat="false" ht="25.5" hidden="false" customHeight="true" outlineLevel="0" collapsed="false">
      <c r="B9" s="29" t="s">
        <v>53</v>
      </c>
      <c r="C9" s="33" t="n">
        <f aca="false">'Costo por planta'!F9*'Costo por planta'!F4</f>
        <v>6250</v>
      </c>
      <c r="D9" s="34"/>
    </row>
    <row r="10" customFormat="false" ht="25.5" hidden="false" customHeight="true" outlineLevel="0" collapsed="false">
      <c r="B10" s="29" t="s">
        <v>54</v>
      </c>
      <c r="C10" s="33" t="n">
        <f aca="false">('Costo por planta'!F9-'Costo por planta'!F8)*'Costo por planta'!F4</f>
        <v>3750</v>
      </c>
      <c r="D10" s="34"/>
    </row>
    <row r="12" customFormat="false" ht="15" hidden="false" customHeight="false" outlineLevel="0" collapsed="false">
      <c r="B12" s="35" t="s">
        <v>55</v>
      </c>
      <c r="C12" s="35"/>
      <c r="D12" s="35"/>
    </row>
    <row r="13" customFormat="false" ht="18" hidden="false" customHeight="true" outlineLevel="0" collapsed="false">
      <c r="B13" s="36" t="s">
        <v>56</v>
      </c>
      <c r="C13" s="36"/>
      <c r="D13" s="36"/>
    </row>
    <row r="14" customFormat="false" ht="21.75" hidden="false" customHeight="true" outlineLevel="0" collapsed="false">
      <c r="B14" s="37" t="s">
        <v>57</v>
      </c>
      <c r="C14" s="38" t="n">
        <v>30</v>
      </c>
      <c r="D14" s="39" t="s">
        <v>49</v>
      </c>
    </row>
    <row r="15" customFormat="false" ht="21.75" hidden="false" customHeight="true" outlineLevel="0" collapsed="false">
      <c r="B15" s="40" t="s">
        <v>58</v>
      </c>
      <c r="C15" s="41" t="n">
        <f aca="false">C14*'Costo por planta'!F9-'Costo por planta'!C12</f>
        <v>2187.5</v>
      </c>
      <c r="D15" s="42"/>
    </row>
    <row r="17" customFormat="false" ht="15" hidden="false" customHeight="false" outlineLevel="0" collapsed="false">
      <c r="B17" s="43" t="s">
        <v>59</v>
      </c>
      <c r="C17" s="43"/>
      <c r="D17" s="43"/>
    </row>
  </sheetData>
  <mergeCells count="5">
    <mergeCell ref="B2:D2"/>
    <mergeCell ref="B3:D3"/>
    <mergeCell ref="B12:D12"/>
    <mergeCell ref="B13:D13"/>
    <mergeCell ref="B17:D17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2026-05-30T00:29:31Z</dcterms:created>
  <dc:creator>openpyxl</dc:creator>
  <dc:description/>
  <dc:language>en-US</dc:language>
  <cp:lastModifiedBy/>
  <dcterms:modified xsi:type="dcterms:W3CDTF">2026-05-30T00:29:31Z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